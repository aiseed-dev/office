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勤怠" sheetId="1" r:id="rId1"/>
  </sheets>
  <definedNames>
    <definedName name="_xlnm.Print_Titles" localSheetId="0">'勤怠'!$1:$1</definedName>
  </definedNames>
</workbook>
</file>

<file path=xl/joPython.xml><?xml version="1.0" encoding="utf-8"?>
<joPython>
  <script name="関数">def 実働(a, b):
    # "9:00"〜"18:00" → 休憩1時間を引いた時間数。空なら空
    if not a or not b:
        return ""
    def m(t):
        h, mm = str(t).split(":")
        return int(h) * 60 + int(mm)
    return round((m(b) - m(a) - 60) / 60, 2)
</script>
</joPython>
</file>

<file path=xl/sharedStrings.xml><?xml version="1.0" encoding="utf-8"?>
<sst xmlns="http://schemas.openxmlformats.org/spreadsheetml/2006/main" count="8" uniqueCount="8">
  <si>
    <t xml:space="preserve">日</t>
  </si>
  <si>
    <t xml:space="preserve">曜日</t>
  </si>
  <si>
    <t xml:space="preserve">出勤</t>
  </si>
  <si>
    <t xml:space="preserve">退勤</t>
  </si>
  <si>
    <t xml:space="preserve">実働h</t>
  </si>
  <si>
    <t xml:space="preserve">9:00</t>
  </si>
  <si>
    <t xml:space="preserve">18:00</t>
  </si>
  <si>
    <t xml:space="preserve">合計</t>
  </si>
</sst>
</file>

<file path=xl/styles.xml><?xml version="1.0" encoding="UTF-8" standalone="yes"?>
<styleSheet xmlns="http://schemas.openxmlformats.org/spreadsheetml/2006/main"><fonts count="2"><font></font><font><b/></font></fonts><fills count="3"><fill><patternFill patternType="none"/></fill><fill><patternFill patternType="gray125"/></fill><fill><patternFill patternType="solid"><fgColor rgb="FFD5E8DC"/><bgColor indexed="64"/></patternFill></fill></fills><borders count="2"><border><left/><right/><top/><bottom/><diagonal/></border><border><left style="thin"><color indexed="64"/></left><right style="thin"><color indexed="64"/></right><top style="thin"><color indexed="64"/></top><bottom style="thin"><color indexed="64"/></bottom><diagonal/></border></borders><cellStyleXfs count="1"><xf numFmtId="0" fontId="0" fillId="0" borderId="0"/></cellStyleXfs><cellXfs count="2"><xf numFmtId="0" fontId="0" fillId="0" borderId="0" xfId="0"applyNumberFormat="1" applyFont="1" applyFill="1" applyBorder="1"/><xf numFmtId="0" fontId="1" fillId="2" borderId="1" xfId="0"applyNumberFormat="1" applyFont="1" applyFill="1" applyBorder="1"/></cellXfs><cellStyles count="1"><cellStyle name="標準" xfId="0" builtinId="0"/></cellStyles>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7" customWidth="1"/>
    <col min="3" max="5" width="9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>
        <v>1</v>
      </c>
      <c r="B2">
        <f>WEEKDAY(DATE(2026,8,1))</f>
        <v>7</v>
      </c>
      <c r="C2" t="s">
        <v>5</v>
      </c>
      <c r="D2" t="s">
        <v>6</v>
      </c>
      <c r="E2" t="e">
        <f>PY("実働", C2, D2)</f>
        <v>#PY?</v>
      </c>
    </row>
    <row r="3">
      <c r="A3">
        <v>2</v>
      </c>
      <c r="B3">
        <f>WEEKDAY(DATE(2026,8,2))</f>
        <v>1</v>
      </c>
      <c r="E3" t="e">
        <f>PY("実働", C3, D3)</f>
        <v>#PY?</v>
      </c>
    </row>
    <row r="4">
      <c r="A4">
        <v>3</v>
      </c>
      <c r="B4">
        <f>WEEKDAY(DATE(2026,8,3))</f>
        <v>2</v>
      </c>
      <c r="E4" t="e">
        <f>PY("実働", C4, D4)</f>
        <v>#PY?</v>
      </c>
    </row>
    <row r="5">
      <c r="A5">
        <v>4</v>
      </c>
      <c r="B5">
        <f>WEEKDAY(DATE(2026,8,4))</f>
        <v>3</v>
      </c>
      <c r="E5" t="e">
        <f>PY("実働", C5, D5)</f>
        <v>#PY?</v>
      </c>
    </row>
    <row r="6">
      <c r="A6">
        <v>5</v>
      </c>
      <c r="B6">
        <f>WEEKDAY(DATE(2026,8,5))</f>
        <v>4</v>
      </c>
      <c r="E6" t="e">
        <f>PY("実働", C6, D6)</f>
        <v>#PY?</v>
      </c>
    </row>
    <row r="7">
      <c r="A7">
        <v>6</v>
      </c>
      <c r="B7">
        <f>WEEKDAY(DATE(2026,8,6))</f>
        <v>5</v>
      </c>
      <c r="E7" t="e">
        <f>PY("実働", C7, D7)</f>
        <v>#PY?</v>
      </c>
    </row>
    <row r="8">
      <c r="A8">
        <v>7</v>
      </c>
      <c r="B8">
        <f>WEEKDAY(DATE(2026,8,7))</f>
        <v>6</v>
      </c>
      <c r="E8" t="e">
        <f>PY("実働", C8, D8)</f>
        <v>#PY?</v>
      </c>
    </row>
    <row r="9">
      <c r="A9">
        <v>8</v>
      </c>
      <c r="B9">
        <f>WEEKDAY(DATE(2026,8,8))</f>
        <v>7</v>
      </c>
      <c r="E9" t="e">
        <f>PY("実働", C9, D9)</f>
        <v>#PY?</v>
      </c>
    </row>
    <row r="10">
      <c r="A10">
        <v>9</v>
      </c>
      <c r="B10">
        <f>WEEKDAY(DATE(2026,8,9))</f>
        <v>1</v>
      </c>
      <c r="E10" t="e">
        <f>PY("実働", C10, D10)</f>
        <v>#PY?</v>
      </c>
    </row>
    <row r="11">
      <c r="A11">
        <v>10</v>
      </c>
      <c r="B11">
        <f>WEEKDAY(DATE(2026,8,10))</f>
        <v>2</v>
      </c>
      <c r="E11" t="e">
        <f>PY("実働", C11, D11)</f>
        <v>#PY?</v>
      </c>
    </row>
    <row r="12">
      <c r="A12">
        <v>11</v>
      </c>
      <c r="B12">
        <f>WEEKDAY(DATE(2026,8,11))</f>
        <v>3</v>
      </c>
      <c r="E12" t="e">
        <f>PY("実働", C12, D12)</f>
        <v>#PY?</v>
      </c>
    </row>
    <row r="13">
      <c r="A13">
        <v>12</v>
      </c>
      <c r="B13">
        <f>WEEKDAY(DATE(2026,8,12))</f>
        <v>4</v>
      </c>
      <c r="E13" t="e">
        <f>PY("実働", C13, D13)</f>
        <v>#PY?</v>
      </c>
    </row>
    <row r="14">
      <c r="A14">
        <v>13</v>
      </c>
      <c r="B14">
        <f>WEEKDAY(DATE(2026,8,13))</f>
        <v>5</v>
      </c>
      <c r="E14" t="e">
        <f>PY("実働", C14, D14)</f>
        <v>#PY?</v>
      </c>
    </row>
    <row r="15">
      <c r="A15">
        <v>14</v>
      </c>
      <c r="B15">
        <f>WEEKDAY(DATE(2026,8,14))</f>
        <v>6</v>
      </c>
      <c r="E15" t="e">
        <f>PY("実働", C15, D15)</f>
        <v>#PY?</v>
      </c>
    </row>
    <row r="16">
      <c r="A16">
        <v>15</v>
      </c>
      <c r="B16">
        <f>WEEKDAY(DATE(2026,8,15))</f>
        <v>7</v>
      </c>
      <c r="E16" t="e">
        <f>PY("実働", C16, D16)</f>
        <v>#PY?</v>
      </c>
    </row>
    <row r="17">
      <c r="A17">
        <v>16</v>
      </c>
      <c r="B17">
        <f>WEEKDAY(DATE(2026,8,16))</f>
        <v>1</v>
      </c>
      <c r="E17" t="e">
        <f>PY("実働", C17, D17)</f>
        <v>#PY?</v>
      </c>
    </row>
    <row r="18">
      <c r="A18">
        <v>17</v>
      </c>
      <c r="B18">
        <f>WEEKDAY(DATE(2026,8,17))</f>
        <v>2</v>
      </c>
      <c r="E18" t="e">
        <f>PY("実働", C18, D18)</f>
        <v>#PY?</v>
      </c>
    </row>
    <row r="19">
      <c r="A19">
        <v>18</v>
      </c>
      <c r="B19">
        <f>WEEKDAY(DATE(2026,8,18))</f>
        <v>3</v>
      </c>
      <c r="E19" t="e">
        <f>PY("実働", C19, D19)</f>
        <v>#PY?</v>
      </c>
    </row>
    <row r="20">
      <c r="A20">
        <v>19</v>
      </c>
      <c r="B20">
        <f>WEEKDAY(DATE(2026,8,19))</f>
        <v>4</v>
      </c>
      <c r="E20" t="e">
        <f>PY("実働", C20, D20)</f>
        <v>#PY?</v>
      </c>
    </row>
    <row r="21">
      <c r="A21">
        <v>20</v>
      </c>
      <c r="B21">
        <f>WEEKDAY(DATE(2026,8,20))</f>
        <v>5</v>
      </c>
      <c r="E21" t="e">
        <f>PY("実働", C21, D21)</f>
        <v>#PY?</v>
      </c>
    </row>
    <row r="22">
      <c r="A22">
        <v>21</v>
      </c>
      <c r="B22">
        <f>WEEKDAY(DATE(2026,8,21))</f>
        <v>6</v>
      </c>
      <c r="E22" t="e">
        <f>PY("実働", C22, D22)</f>
        <v>#PY?</v>
      </c>
    </row>
    <row r="23">
      <c r="A23">
        <v>22</v>
      </c>
      <c r="B23">
        <f>WEEKDAY(DATE(2026,8,22))</f>
        <v>7</v>
      </c>
      <c r="E23" t="e">
        <f>PY("実働", C23, D23)</f>
        <v>#PY?</v>
      </c>
    </row>
    <row r="24">
      <c r="A24">
        <v>23</v>
      </c>
      <c r="B24">
        <f>WEEKDAY(DATE(2026,8,23))</f>
        <v>1</v>
      </c>
      <c r="E24" t="e">
        <f>PY("実働", C24, D24)</f>
        <v>#PY?</v>
      </c>
    </row>
    <row r="25">
      <c r="A25">
        <v>24</v>
      </c>
      <c r="B25">
        <f>WEEKDAY(DATE(2026,8,24))</f>
        <v>2</v>
      </c>
      <c r="E25" t="e">
        <f>PY("実働", C25, D25)</f>
        <v>#PY?</v>
      </c>
    </row>
    <row r="26">
      <c r="A26">
        <v>25</v>
      </c>
      <c r="B26">
        <f>WEEKDAY(DATE(2026,8,25))</f>
        <v>3</v>
      </c>
      <c r="E26" t="e">
        <f>PY("実働", C26, D26)</f>
        <v>#PY?</v>
      </c>
    </row>
    <row r="27">
      <c r="A27">
        <v>26</v>
      </c>
      <c r="B27">
        <f>WEEKDAY(DATE(2026,8,26))</f>
        <v>4</v>
      </c>
      <c r="E27" t="e">
        <f>PY("実働", C27, D27)</f>
        <v>#PY?</v>
      </c>
    </row>
    <row r="28">
      <c r="A28">
        <v>27</v>
      </c>
      <c r="B28">
        <f>WEEKDAY(DATE(2026,8,27))</f>
        <v>5</v>
      </c>
      <c r="E28" t="e">
        <f>PY("実働", C28, D28)</f>
        <v>#PY?</v>
      </c>
    </row>
    <row r="29">
      <c r="A29">
        <v>28</v>
      </c>
      <c r="B29">
        <f>WEEKDAY(DATE(2026,8,28))</f>
        <v>6</v>
      </c>
      <c r="E29" t="e">
        <f>PY("実働", C29, D29)</f>
        <v>#PY?</v>
      </c>
    </row>
    <row r="30">
      <c r="A30">
        <v>29</v>
      </c>
      <c r="B30">
        <f>WEEKDAY(DATE(2026,8,29))</f>
        <v>7</v>
      </c>
      <c r="E30" t="e">
        <f>PY("実働", C30, D30)</f>
        <v>#PY?</v>
      </c>
    </row>
    <row r="31">
      <c r="A31">
        <v>30</v>
      </c>
      <c r="B31">
        <f>WEEKDAY(DATE(2026,8,30))</f>
        <v>1</v>
      </c>
      <c r="E31" t="e">
        <f>PY("実働", C31, D31)</f>
        <v>#PY?</v>
      </c>
    </row>
    <row r="32">
      <c r="A32">
        <v>31</v>
      </c>
      <c r="B32">
        <f>WEEKDAY(DATE(2026,8,31))</f>
        <v>2</v>
      </c>
      <c r="E32" t="e">
        <f>PY("実働", C32, D32)</f>
        <v>#PY?</v>
      </c>
    </row>
    <row r="33">
      <c r="D33" t="s">
        <v>7</v>
      </c>
      <c r="E33" t="e">
        <f>SUM(E2:E32)</f>
        <v>#PY?</v>
      </c>
    </row>
  </sheetData>
</worksheet>
</file>