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見積書" sheetId="1" r:id="rId1"/>
  </sheets>
  <definedNames>
    <definedName name="_xlnm.Print_Area" localSheetId="0">'見積書'!$A$1:$F$19</definedName>
  </definedNames>
</workbook>
</file>

<file path=xl/sharedStrings.xml><?xml version="1.0" encoding="utf-8"?>
<sst xmlns="http://schemas.openxmlformats.org/spreadsheetml/2006/main" count="25" uniqueCount="25">
  <si>
    <t xml:space="preserve">御 見 積 書</t>
  </si>
  <si>
    <t xml:space="preserve">株式会社みほん商事 御中</t>
  </si>
  <si>
    <t xml:space="preserve">見積番号</t>
  </si>
  <si>
    <t xml:space="preserve">M-2026-001</t>
  </si>
  <si>
    <t xml:space="preserve">発行日</t>
  </si>
  <si>
    <t xml:space="preserve">2026-08-04</t>
  </si>
  <si>
    <t xml:space="preserve">下記のとおりお見積り申し上げます。</t>
  </si>
  <si>
    <t xml:space="preserve">御見積金額(税込)</t>
  </si>
  <si>
    <t xml:space="preserve">例示工務店</t>
  </si>
  <si>
    <t xml:space="preserve">見本県架空市例示町1-2-3</t>
  </si>
  <si>
    <t xml:space="preserve">012-345-6789</t>
  </si>
  <si>
    <t xml:space="preserve">No.</t>
  </si>
  <si>
    <t xml:space="preserve">品名</t>
  </si>
  <si>
    <t xml:space="preserve">数量</t>
  </si>
  <si>
    <t xml:space="preserve">単位</t>
  </si>
  <si>
    <t xml:space="preserve">単価</t>
  </si>
  <si>
    <t xml:space="preserve">金額</t>
  </si>
  <si>
    <t xml:space="preserve">外壁塗装工事</t>
  </si>
  <si>
    <t xml:space="preserve">式</t>
  </si>
  <si>
    <t xml:space="preserve">足場の設置</t>
  </si>
  <si>
    <t xml:space="preserve">㎡</t>
  </si>
  <si>
    <t xml:space="preserve">高圧洗浄</t>
  </si>
  <si>
    <t xml:space="preserve">小計</t>
  </si>
  <si>
    <t xml:space="preserve">消費税(10%)</t>
  </si>
  <si>
    <t xml:space="preserve">合計</t>
  </si>
</sst>
</file>

<file path=xl/styles.xml><?xml version="1.0" encoding="UTF-8" standalone="yes"?>
<styleSheet xmlns="http://schemas.openxmlformats.org/spreadsheetml/2006/main"><numFmts count="2"><numFmt numFmtId="164" formatCode="¥#,##0"/><numFmt numFmtId="165" formatCode="#,##0"/></numFmts><fonts count="5"><font></font><font><sz val="18"/><b/></font><font><sz val="12"/><b/></font><font><b/></font><font><sz val="14"/><b/></font></fonts><fills count="3"><fill><patternFill patternType="none"/></fill><fill><patternFill patternType="gray125"/></fill><fill><patternFill patternType="solid"><fgColor rgb="FFDCE6F1"/><bgColor indexed="64"/></patternFill></fill></fills><borders count="2"><border><left/><right/><top/><bottom/><diagonal/></border><border><left style="thin"><color indexed="64"/></left><right style="thin"><color indexed="64"/></right><top style="thin"><color indexed="64"/></top><bottom style="thin"><color indexed="64"/></bottom><diagonal/></border></borders><cellStyleXfs count="1"><xf numFmtId="0" fontId="0" fillId="0" borderId="0"/></cellStyleXfs><cellXfs count="11"><xf numFmtId="0" fontId="0" fillId="0" borderId="0" xfId="0"applyNumberFormat="1" applyFont="1" applyFill="1" applyBorder="1"/><xf numFmtId="0" fontId="1" fillId="0" borderId="0" xfId="0"applyNumberFormat="1" applyFont="1" applyFill="1" applyBorder="1" applyAlignment="1"><alignment horizontal="center" vertical="center"/></xf><xf numFmtId="0" fontId="2" fillId="0" borderId="0" xfId="0"applyNumberFormat="1" applyFont="1" applyFill="1" applyBorder="1"/><xf numFmtId="0" fontId="3" fillId="0" borderId="0" xfId="0"applyNumberFormat="1" applyFont="1" applyFill="1" applyBorder="1"/><xf numFmtId="164" fontId="4" fillId="0" borderId="0" xfId="0"applyNumberFormat="1" applyFont="1" applyFill="1" applyBorder="1"/><xf numFmtId="0" fontId="3" fillId="2" borderId="1" xfId="0"applyNumberFormat="1" applyFont="1" applyFill="1" applyBorder="1" applyAlignment="1"><alignment horizontal="center"/></xf><xf numFmtId="0" fontId="0" fillId="0" borderId="1" xfId="0"applyNumberFormat="1" applyFont="1" applyFill="1" applyBorder="1"/><xf numFmtId="165" fontId="0" fillId="0" borderId="1" xfId="0"applyNumberFormat="1" applyFont="1" applyFill="1" applyBorder="1"/><xf numFmtId="0" fontId="0" fillId="0" borderId="1" xfId="0"applyNumberFormat="1" applyFont="1" applyFill="1" applyBorder="1" applyAlignment="1"><alignment horizontal="center"/></xf><xf numFmtId="164" fontId="0" fillId="0" borderId="1" xfId="0"applyNumberFormat="1" applyFont="1" applyFill="1" applyBorder="1"/><xf numFmtId="164" fontId="3" fillId="0" borderId="1" xfId="0"applyNumberFormat="1" applyFont="1" applyFill="1" applyBorder="1"/></cellXfs><cellStyles count="1"><cellStyle name="標準" xfId="0" builtinId="0"/></cellStyles>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Relationship Id="rIdTH" Type="http://schemas.openxmlformats.org/officeDocument/2006/relationships/theme" Target="theme/them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6" customWidth="1"/>
    <col min="2" max="2" width="34" customWidth="1"/>
    <col min="3" max="3" width="10" customWidth="1"/>
    <col min="4" max="4" width="8" customWidth="1"/>
    <col min="5" max="5" width="12" customWidth="1"/>
    <col min="6" max="6" width="14" customWidth="1"/>
  </cols>
  <sheetData>
    <row r="1" ht="32" customHeight="1">
      <c r="A1" t="s" s="1">
        <v>0</v>
      </c>
    </row>
    <row r="3">
      <c r="A3" t="s" s="2">
        <v>1</v>
      </c>
      <c r="E3" t="s">
        <v>2</v>
      </c>
      <c r="F3" t="s">
        <v>3</v>
      </c>
    </row>
    <row r="4">
      <c r="E4" t="s">
        <v>4</v>
      </c>
      <c r="F4" t="s">
        <v>5</v>
      </c>
    </row>
    <row r="5">
      <c r="A5" t="s">
        <v>6</v>
      </c>
    </row>
    <row r="6">
      <c r="A6" t="s" s="3">
        <v>7</v>
      </c>
      <c r="C6" s="4">
        <f>F18</f>
        <v>640200</v>
      </c>
      <c r="E6" t="s">
        <v>8</v>
      </c>
    </row>
    <row r="7">
      <c r="E7" t="s">
        <v>9</v>
      </c>
    </row>
    <row r="8">
      <c r="E8" t="s">
        <v>10</v>
      </c>
    </row>
    <row r="10">
      <c r="A10" t="s" s="5">
        <v>11</v>
      </c>
      <c r="B10" t="s" s="5">
        <v>12</v>
      </c>
      <c r="C10" t="s" s="5">
        <v>13</v>
      </c>
      <c r="D10" t="s" s="5">
        <v>14</v>
      </c>
      <c r="E10" t="s" s="5">
        <v>15</v>
      </c>
      <c r="F10" t="s" s="5">
        <v>16</v>
      </c>
    </row>
    <row r="11">
      <c r="A11" s="6">
        <v>1</v>
      </c>
      <c r="B11" t="s" s="6">
        <v>17</v>
      </c>
      <c r="C11" s="6">
        <v>1</v>
      </c>
      <c r="D11" t="s" s="6">
        <v>18</v>
      </c>
      <c r="E11" s="7">
        <v>450000</v>
      </c>
      <c r="F11" s="7">
        <f>C11*E11</f>
        <v>450000</v>
      </c>
    </row>
    <row r="12">
      <c r="A12" s="6">
        <v>2</v>
      </c>
      <c r="B12" t="s" s="6">
        <v>19</v>
      </c>
      <c r="C12" s="6">
        <v>120</v>
      </c>
      <c r="D12" t="s" s="6">
        <v>20</v>
      </c>
      <c r="E12" s="7">
        <v>800</v>
      </c>
      <c r="F12" s="7">
        <f>C12*E12</f>
        <v>96000</v>
      </c>
    </row>
    <row r="13">
      <c r="A13" s="6">
        <v>3</v>
      </c>
      <c r="B13" t="s" s="6">
        <v>21</v>
      </c>
      <c r="C13" s="6">
        <v>120</v>
      </c>
      <c r="D13" t="s" s="6">
        <v>20</v>
      </c>
      <c r="E13" s="7">
        <v>300</v>
      </c>
      <c r="F13" s="7">
        <f>C13*E13</f>
        <v>36000</v>
      </c>
    </row>
    <row r="14">
      <c r="A14" s="6"/>
      <c r="B14" s="6"/>
      <c r="C14" s="6"/>
      <c r="D14" s="6"/>
      <c r="E14" s="7"/>
      <c r="F14" s="7"/>
    </row>
    <row r="15">
      <c r="A15" s="6"/>
      <c r="B15" s="6"/>
      <c r="C15" s="6"/>
      <c r="D15" s="6"/>
      <c r="E15" s="7"/>
      <c r="F15" s="7"/>
    </row>
    <row r="16">
      <c r="E16" t="s" s="8">
        <v>22</v>
      </c>
      <c r="F16" s="9">
        <f>SUM(F11:F15)</f>
        <v>582000</v>
      </c>
    </row>
    <row r="17">
      <c r="E17" t="s" s="8">
        <v>23</v>
      </c>
      <c r="F17" s="9">
        <f>ROUND(F16*0.1,0)</f>
        <v>58200</v>
      </c>
    </row>
    <row r="18">
      <c r="E18" t="s" s="8">
        <v>24</v>
      </c>
      <c r="F18" s="10">
        <f>F16+F17</f>
        <v>640200</v>
      </c>
    </row>
  </sheetData>
  <mergeCells count="1">
    <mergeCell ref="A1:F1"/>
  </mergeCells>
  <pageSetup orientation="portrait" paperSize="9"/>
</worksheet>
</file>